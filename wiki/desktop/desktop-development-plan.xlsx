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velopme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FFFFFF"/>
      <sz val="11"/>
    </font>
    <font>
      <name val="Arial"/>
      <b val="1"/>
      <color rgb="00475569"/>
      <sz val="10"/>
    </font>
    <font>
      <name val="Arial"/>
      <b val="1"/>
      <color rgb="001F2933"/>
      <sz val="11"/>
    </font>
    <font>
      <name val="Arial"/>
      <b val="1"/>
      <color rgb="001F2933"/>
      <sz val="10"/>
    </font>
    <font>
      <name val="Arial"/>
      <b val="1"/>
      <color rgb="0051607A"/>
      <sz val="10"/>
    </font>
    <font>
      <name val="Arial"/>
      <b val="1"/>
      <color rgb="008A5A00"/>
      <sz val="10"/>
    </font>
    <font>
      <name val="Arial"/>
      <b val="1"/>
      <color rgb="001E7D46"/>
      <sz val="10"/>
    </font>
    <font>
      <name val="Arial"/>
      <b val="1"/>
      <color rgb="00B3261E"/>
      <sz val="10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245B78"/>
      </patternFill>
    </fill>
    <fill>
      <patternFill patternType="solid">
        <fgColor rgb="00EEF2F7"/>
      </patternFill>
    </fill>
    <fill>
      <patternFill patternType="solid">
        <fgColor rgb="00FEF0C7"/>
      </patternFill>
    </fill>
    <fill>
      <patternFill patternType="solid">
        <fgColor rgb="00D9F2E3"/>
      </patternFill>
    </fill>
    <fill>
      <patternFill patternType="solid">
        <fgColor rgb="00FBE2E0"/>
      </patternFill>
    </fill>
  </fills>
  <borders count="3">
    <border>
      <left/>
      <right/>
      <top/>
      <bottom/>
      <diagonal/>
    </border>
    <border>
      <left style="thin">
        <color rgb="00B9C7D6"/>
      </left>
      <right style="thin">
        <color rgb="00B9C7D6"/>
      </right>
      <top style="thin">
        <color rgb="00B9C7D6"/>
      </top>
      <bottom style="thin">
        <color rgb="00B9C7D6"/>
      </bottom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indent="1"/>
    </xf>
    <xf numFmtId="0" fontId="6" fillId="3" borderId="2" pivotButton="0" quotePrefix="0" xfId="0"/>
    <xf numFmtId="0" fontId="7" fillId="0" borderId="2" applyAlignment="1" pivotButton="0" quotePrefix="0" xfId="0">
      <alignment horizontal="center"/>
    </xf>
    <xf numFmtId="9" fontId="7" fillId="0" borderId="2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/>
    </xf>
    <xf numFmtId="0" fontId="8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/>
    </xf>
    <xf numFmtId="0" fontId="4" fillId="0" borderId="2" applyAlignment="1" pivotButton="0" quotePrefix="0" xfId="0">
      <alignment horizontal="left" indent="1"/>
    </xf>
    <xf numFmtId="0" fontId="0" fillId="0" borderId="2" pivotButton="0" quotePrefix="0" xfId="0"/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Arial"/>
        <b val="1"/>
        <color rgb="001E7D46"/>
        <sz val="10"/>
      </font>
      <fill>
        <patternFill patternType="solid">
          <fgColor rgb="00D9F2E3"/>
        </patternFill>
      </fill>
    </dxf>
    <dxf>
      <font>
        <name val="Arial"/>
        <b val="1"/>
        <color rgb="008A5A00"/>
        <sz val="10"/>
      </font>
      <fill>
        <patternFill patternType="solid">
          <fgColor rgb="00FEF0C7"/>
        </patternFill>
      </fill>
    </dxf>
    <dxf>
      <font>
        <name val="Arial"/>
        <b val="1"/>
        <color rgb="0051607A"/>
        <sz val="10"/>
      </font>
      <fill>
        <patternFill patternType="solid">
          <fgColor rgb="00EEF2F7"/>
        </patternFill>
      </fill>
    </dxf>
    <dxf>
      <font>
        <name val="Arial"/>
        <b val="1"/>
        <color rgb="00B3261E"/>
        <sz val="10"/>
      </font>
      <fill>
        <patternFill patternType="solid">
          <fgColor rgb="00FBE2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13" customWidth="1" min="5" max="5"/>
    <col width="30" customWidth="1" min="6" max="6"/>
  </cols>
  <sheetData>
    <row r="1">
      <c r="A1" s="1" t="inlineStr">
        <is>
          <t>Notable Finance — Desktop App Progress</t>
        </is>
      </c>
    </row>
    <row r="2">
      <c r="A2" s="2" t="inlineStr">
        <is>
          <t>Offline-first Electron desktop client. Local SQLite is the source of truth; Notion is a bidirectional mirror. Phases 0-1 complete and verified on 2026-07-21: the app is a fully usable offline daily driver (local CRUD, real-time derived balances, 9 sections, multi-window). Next: Phase 2 (Notion onboarding + push).</t>
        </is>
      </c>
    </row>
    <row r="4">
      <c r="A4" s="3" t="inlineStr">
        <is>
          <t>Overall Progress</t>
        </is>
      </c>
    </row>
    <row r="5">
      <c r="A5" s="4" t="inlineStr">
        <is>
          <t>Total items</t>
        </is>
      </c>
      <c r="B5" s="5">
        <f>COUNTA('Development Plan'!$B$5:$B$100)</f>
        <v>22</v>
        <v/>
      </c>
      <c r="C5" s="4" t="inlineStr">
        <is>
          <t>Done</t>
        </is>
      </c>
      <c r="D5" s="5">
        <f>COUNTIF('Development Plan'!$E$5:$E$100,"Done")</f>
        <v>9</v>
        <v/>
      </c>
      <c r="E5" s="4" t="inlineStr">
        <is>
          <t>% Complete</t>
        </is>
      </c>
      <c r="F5" s="6">
        <f>IFERROR(D5/B5,0)</f>
        <v>0.409090909091</v>
        <v/>
      </c>
    </row>
    <row r="7">
      <c r="A7" s="3" t="inlineStr">
        <is>
          <t>Progress by Phase</t>
        </is>
      </c>
    </row>
    <row r="8">
      <c r="A8" s="7" t="inlineStr">
        <is>
          <t>Phase</t>
        </is>
      </c>
      <c r="B8" s="7" t="inlineStr">
        <is>
          <t>Total</t>
        </is>
      </c>
      <c r="C8" s="7" t="inlineStr">
        <is>
          <t>Not Started</t>
        </is>
      </c>
      <c r="D8" s="7" t="inlineStr">
        <is>
          <t>In Progress</t>
        </is>
      </c>
      <c r="E8" s="7" t="inlineStr">
        <is>
          <t>Done</t>
        </is>
      </c>
      <c r="F8" s="7" t="inlineStr">
        <is>
          <t>Blocked</t>
        </is>
      </c>
    </row>
    <row r="9">
      <c r="A9" s="8" t="inlineStr">
        <is>
          <t>Phase 0 — Scaffold &amp; shared logic</t>
        </is>
      </c>
      <c r="B9" s="9">
        <f>COUNTIF('Development Plan'!$A$5:$A$100,"Phase 0")</f>
        <v>4</v>
        <v/>
      </c>
      <c r="C9" s="9">
        <f>COUNTIFS('Development Plan'!$A$5:$A$100,"Phase 0",'Development Plan'!$E$5:$E$100,"Not Started")</f>
        <v>0</v>
        <v/>
      </c>
      <c r="D9" s="9">
        <f>COUNTIFS('Development Plan'!$A$5:$A$100,"Phase 0",'Development Plan'!$E$5:$E$100,"In Progress")</f>
        <v>0</v>
        <v/>
      </c>
      <c r="E9" s="9">
        <f>COUNTIFS('Development Plan'!$A$5:$A$100,"Phase 0",'Development Plan'!$E$5:$E$100,"Done")</f>
        <v>4</v>
        <v/>
      </c>
      <c r="F9" s="9">
        <f>COUNTIFS('Development Plan'!$A$5:$A$100,"Phase 0",'Development Plan'!$E$5:$E$100,"Blocked")</f>
        <v>0</v>
        <v/>
      </c>
    </row>
    <row r="10">
      <c r="A10" s="8" t="inlineStr">
        <is>
          <t>Phase 1 — Offline app (fully usable, no sync)</t>
        </is>
      </c>
      <c r="B10" s="9">
        <f>COUNTIF('Development Plan'!$A$5:$A$100,"Phase 1")</f>
        <v>5</v>
        <v/>
      </c>
      <c r="C10" s="9">
        <f>COUNTIFS('Development Plan'!$A$5:$A$100,"Phase 1",'Development Plan'!$E$5:$E$100,"Not Started")</f>
        <v>0</v>
        <v/>
      </c>
      <c r="D10" s="9">
        <f>COUNTIFS('Development Plan'!$A$5:$A$100,"Phase 1",'Development Plan'!$E$5:$E$100,"In Progress")</f>
        <v>0</v>
        <v/>
      </c>
      <c r="E10" s="9">
        <f>COUNTIFS('Development Plan'!$A$5:$A$100,"Phase 1",'Development Plan'!$E$5:$E$100,"Done")</f>
        <v>5</v>
        <v/>
      </c>
      <c r="F10" s="9">
        <f>COUNTIFS('Development Plan'!$A$5:$A$100,"Phase 1",'Development Plan'!$E$5:$E$100,"Blocked")</f>
        <v>0</v>
        <v/>
      </c>
    </row>
    <row r="11">
      <c r="A11" s="8" t="inlineStr">
        <is>
          <t>Phase 2 — Onboarding + Push</t>
        </is>
      </c>
      <c r="B11" s="9">
        <f>COUNTIF('Development Plan'!$A$5:$A$100,"Phase 2")</f>
        <v>3</v>
        <v/>
      </c>
      <c r="C11" s="9">
        <f>COUNTIFS('Development Plan'!$A$5:$A$100,"Phase 2",'Development Plan'!$E$5:$E$100,"Not Started")</f>
        <v>3</v>
        <v/>
      </c>
      <c r="D11" s="9">
        <f>COUNTIFS('Development Plan'!$A$5:$A$100,"Phase 2",'Development Plan'!$E$5:$E$100,"In Progress")</f>
        <v>0</v>
        <v/>
      </c>
      <c r="E11" s="9">
        <f>COUNTIFS('Development Plan'!$A$5:$A$100,"Phase 2",'Development Plan'!$E$5:$E$100,"Done")</f>
        <v>0</v>
        <v/>
      </c>
      <c r="F11" s="9">
        <f>COUNTIFS('Development Plan'!$A$5:$A$100,"Phase 2",'Development Plan'!$E$5:$E$100,"Blocked")</f>
        <v>0</v>
        <v/>
      </c>
    </row>
    <row r="12">
      <c r="A12" s="8" t="inlineStr">
        <is>
          <t>Phase 3 — Pull</t>
        </is>
      </c>
      <c r="B12" s="9">
        <f>COUNTIF('Development Plan'!$A$5:$A$100,"Phase 3")</f>
        <v>3</v>
        <v/>
      </c>
      <c r="C12" s="9">
        <f>COUNTIFS('Development Plan'!$A$5:$A$100,"Phase 3",'Development Plan'!$E$5:$E$100,"Not Started")</f>
        <v>3</v>
        <v/>
      </c>
      <c r="D12" s="9">
        <f>COUNTIFS('Development Plan'!$A$5:$A$100,"Phase 3",'Development Plan'!$E$5:$E$100,"In Progress")</f>
        <v>0</v>
        <v/>
      </c>
      <c r="E12" s="9">
        <f>COUNTIFS('Development Plan'!$A$5:$A$100,"Phase 3",'Development Plan'!$E$5:$E$100,"Done")</f>
        <v>0</v>
        <v/>
      </c>
      <c r="F12" s="9">
        <f>COUNTIFS('Development Plan'!$A$5:$A$100,"Phase 3",'Development Plan'!$E$5:$E$100,"Blocked")</f>
        <v>0</v>
        <v/>
      </c>
    </row>
    <row r="13">
      <c r="A13" s="8" t="inlineStr">
        <is>
          <t>Phase 4 — Reconcile + Conflict</t>
        </is>
      </c>
      <c r="B13" s="9">
        <f>COUNTIF('Development Plan'!$A$5:$A$100,"Phase 4")</f>
        <v>4</v>
        <v/>
      </c>
      <c r="C13" s="9">
        <f>COUNTIFS('Development Plan'!$A$5:$A$100,"Phase 4",'Development Plan'!$E$5:$E$100,"Not Started")</f>
        <v>4</v>
        <v/>
      </c>
      <c r="D13" s="9">
        <f>COUNTIFS('Development Plan'!$A$5:$A$100,"Phase 4",'Development Plan'!$E$5:$E$100,"In Progress")</f>
        <v>0</v>
        <v/>
      </c>
      <c r="E13" s="9">
        <f>COUNTIFS('Development Plan'!$A$5:$A$100,"Phase 4",'Development Plan'!$E$5:$E$100,"Done")</f>
        <v>0</v>
        <v/>
      </c>
      <c r="F13" s="9">
        <f>COUNTIFS('Development Plan'!$A$5:$A$100,"Phase 4",'Development Plan'!$E$5:$E$100,"Blocked")</f>
        <v>0</v>
        <v/>
      </c>
    </row>
    <row r="14">
      <c r="A14" s="8" t="inlineStr">
        <is>
          <t>Phase 5 — Package</t>
        </is>
      </c>
      <c r="B14" s="9">
        <f>COUNTIF('Development Plan'!$A$5:$A$100,"Phase 5")</f>
        <v>3</v>
        <v/>
      </c>
      <c r="C14" s="9">
        <f>COUNTIFS('Development Plan'!$A$5:$A$100,"Phase 5",'Development Plan'!$E$5:$E$100,"Not Started")</f>
        <v>3</v>
        <v/>
      </c>
      <c r="D14" s="9">
        <f>COUNTIFS('Development Plan'!$A$5:$A$100,"Phase 5",'Development Plan'!$E$5:$E$100,"In Progress")</f>
        <v>0</v>
        <v/>
      </c>
      <c r="E14" s="9">
        <f>COUNTIFS('Development Plan'!$A$5:$A$100,"Phase 5",'Development Plan'!$E$5:$E$100,"Done")</f>
        <v>0</v>
        <v/>
      </c>
      <c r="F14" s="9">
        <f>COUNTIFS('Development Plan'!$A$5:$A$100,"Phase 5",'Development Plan'!$E$5:$E$100,"Blocked")</f>
        <v>0</v>
        <v/>
      </c>
    </row>
    <row r="15">
      <c r="A15" s="10" t="inlineStr">
        <is>
          <t>Total</t>
        </is>
      </c>
      <c r="B15" s="11">
        <f>SUM(B9:B14)</f>
        <v>22</v>
        <v/>
      </c>
      <c r="C15" s="11">
        <f>SUM(C9:C14)</f>
        <v>13</v>
        <v/>
      </c>
      <c r="D15" s="11">
        <f>SUM(D9:D14)</f>
        <v>0</v>
        <v/>
      </c>
      <c r="E15" s="11">
        <f>SUM(E9:E14)</f>
        <v>9</v>
        <v/>
      </c>
      <c r="F15" s="11">
        <f>SUM(F9:F14)</f>
        <v>0</v>
        <v/>
      </c>
    </row>
    <row r="17">
      <c r="A17" s="3" t="inlineStr">
        <is>
          <t>Milestones</t>
        </is>
      </c>
    </row>
    <row r="18">
      <c r="A18" s="7" t="inlineStr">
        <is>
          <t>Milestone</t>
        </is>
      </c>
      <c r="B18" s="7" t="inlineStr">
        <is>
          <t>Scope</t>
        </is>
      </c>
      <c r="C18" s="7" t="inlineStr">
        <is>
          <t>Items</t>
        </is>
      </c>
      <c r="D18" s="7" t="inlineStr">
        <is>
          <t>Done</t>
        </is>
      </c>
      <c r="E18" s="7" t="inlineStr">
        <is>
          <t>% Complete</t>
        </is>
      </c>
      <c r="F18" s="7" t="inlineStr">
        <is>
          <t>Reaching it means</t>
        </is>
      </c>
    </row>
    <row r="19">
      <c r="A19" s="12" t="inlineStr">
        <is>
          <t>M1 — Offline app</t>
        </is>
      </c>
      <c r="B19" s="13" t="inlineStr">
        <is>
          <t>Phase 0, Phase 1</t>
        </is>
      </c>
      <c r="C19" s="14">
        <f>COUNTIF('Development Plan'!$A$5:$A$100,"Phase 0")+COUNTIF('Development Plan'!$A$5:$A$100,"Phase 1")</f>
        <v>9</v>
        <v/>
      </c>
      <c r="D19" s="14">
        <f>COUNTIFS('Development Plan'!$A$5:$A$100,"Phase 0",'Development Plan'!$E$5:$E$100,"Done")+COUNTIFS('Development Plan'!$A$5:$A$100,"Phase 1",'Development Plan'!$E$5:$E$100,"Done")</f>
        <v>9</v>
        <v/>
      </c>
      <c r="E19" s="15">
        <f>IFERROR(D19/C19,0)</f>
        <v>1.0</v>
        <v/>
      </c>
      <c r="F19" s="16" t="inlineStr">
        <is>
          <t>Usable offline; real-time balances.</t>
        </is>
      </c>
    </row>
    <row r="20">
      <c r="A20" s="12" t="inlineStr">
        <is>
          <t>M2 — Backup sync</t>
        </is>
      </c>
      <c r="B20" s="13" t="inlineStr">
        <is>
          <t>Phase 2, Phase 3</t>
        </is>
      </c>
      <c r="C20" s="14">
        <f>COUNTIF('Development Plan'!$A$5:$A$100,"Phase 2")+COUNTIF('Development Plan'!$A$5:$A$100,"Phase 3")</f>
        <v>6</v>
        <v/>
      </c>
      <c r="D20" s="14">
        <f>COUNTIFS('Development Plan'!$A$5:$A$100,"Phase 2",'Development Plan'!$E$5:$E$100,"Done")+COUNTIFS('Development Plan'!$A$5:$A$100,"Phase 3",'Development Plan'!$E$5:$E$100,"Done")</f>
        <v>0</v>
        <v/>
      </c>
      <c r="E20" s="15">
        <f>IFERROR(D20/C20,0)</f>
        <v>0.0</v>
        <v/>
      </c>
      <c r="F20" s="16" t="inlineStr">
        <is>
          <t>Push + pull working (one-directional feel).</t>
        </is>
      </c>
    </row>
    <row r="21">
      <c r="A21" s="12" t="inlineStr">
        <is>
          <t>M3 — Full sync</t>
        </is>
      </c>
      <c r="B21" s="13" t="inlineStr">
        <is>
          <t>Phase 4</t>
        </is>
      </c>
      <c r="C21" s="14">
        <f>COUNTIF('Development Plan'!$A$5:$A$100,"Phase 4")</f>
        <v>4</v>
        <v/>
      </c>
      <c r="D21" s="14">
        <f>COUNTIFS('Development Plan'!$A$5:$A$100,"Phase 4",'Development Plan'!$E$5:$E$100,"Done")</f>
        <v>0</v>
        <v/>
      </c>
      <c r="E21" s="15">
        <f>IFERROR(D21/C21,0)</f>
        <v>0.0</v>
        <v/>
      </c>
      <c r="F21" s="16" t="inlineStr">
        <is>
          <t>Bidirectional reconcile + conflict resolver.</t>
        </is>
      </c>
    </row>
    <row r="22">
      <c r="A22" s="12" t="inlineStr">
        <is>
          <t>M4 — Shippable</t>
        </is>
      </c>
      <c r="B22" s="13" t="inlineStr">
        <is>
          <t>Phase 5</t>
        </is>
      </c>
      <c r="C22" s="14">
        <f>COUNTIF('Development Plan'!$A$5:$A$100,"Phase 5")</f>
        <v>3</v>
        <v/>
      </c>
      <c r="D22" s="14">
        <f>COUNTIFS('Development Plan'!$A$5:$A$100,"Phase 5",'Development Plan'!$E$5:$E$100,"Done")</f>
        <v>0</v>
        <v/>
      </c>
      <c r="E22" s="15">
        <f>IFERROR(D22/C22,0)</f>
        <v>0.0</v>
        <v/>
      </c>
      <c r="F22" s="16" t="inlineStr">
        <is>
          <t>Packaged installers for mac/linux/windows.</t>
        </is>
      </c>
    </row>
    <row r="24">
      <c r="A24" s="3" t="inlineStr">
        <is>
          <t>Status Legend</t>
        </is>
      </c>
    </row>
    <row r="25">
      <c r="A25" s="17" t="inlineStr">
        <is>
          <t>Not Started</t>
        </is>
      </c>
      <c r="B25" s="18" t="inlineStr">
        <is>
          <t>Planned but not yet begun.</t>
        </is>
      </c>
      <c r="C25" s="19" t="n"/>
      <c r="D25" s="19" t="n"/>
      <c r="E25" s="19" t="n"/>
      <c r="F25" s="19" t="n"/>
    </row>
    <row r="26">
      <c r="A26" s="20" t="inlineStr">
        <is>
          <t>In Progress</t>
        </is>
      </c>
      <c r="B26" s="18" t="inlineStr">
        <is>
          <t>Actively being worked; acceptance not yet met.</t>
        </is>
      </c>
      <c r="C26" s="19" t="n"/>
      <c r="D26" s="19" t="n"/>
      <c r="E26" s="19" t="n"/>
      <c r="F26" s="19" t="n"/>
    </row>
    <row r="27">
      <c r="A27" s="21" t="inlineStr">
        <is>
          <t>Done</t>
        </is>
      </c>
      <c r="B27" s="18" t="inlineStr">
        <is>
          <t>Complete and verified against its acceptance criterion.</t>
        </is>
      </c>
      <c r="C27" s="19" t="n"/>
      <c r="D27" s="19" t="n"/>
      <c r="E27" s="19" t="n"/>
      <c r="F27" s="19" t="n"/>
    </row>
    <row r="28">
      <c r="A28" s="22" t="inlineStr">
        <is>
          <t>Blocked</t>
        </is>
      </c>
      <c r="B28" s="18" t="inlineStr">
        <is>
          <t>Cannot proceed without a dependency, decision, or access.</t>
        </is>
      </c>
      <c r="C28" s="19" t="n"/>
      <c r="D28" s="19" t="n"/>
      <c r="E28" s="19" t="n"/>
      <c r="F28" s="19" t="n"/>
    </row>
  </sheetData>
  <mergeCells count="10">
    <mergeCell ref="A24:F24"/>
    <mergeCell ref="A2:F2"/>
    <mergeCell ref="A1:F1"/>
    <mergeCell ref="B25:F25"/>
    <mergeCell ref="B28:F28"/>
    <mergeCell ref="A17:F17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50" customWidth="1" min="3" max="3"/>
    <col width="40" customWidth="1" min="4" max="4"/>
    <col width="13" customWidth="1" min="5" max="5"/>
    <col width="52" customWidth="1" min="6" max="6"/>
  </cols>
  <sheetData>
    <row r="1">
      <c r="A1" s="1" t="inlineStr">
        <is>
          <t>Notable Finance — Desktop Development Plan</t>
        </is>
      </c>
    </row>
    <row r="2">
      <c r="A2" s="2" t="inlineStr">
        <is>
          <t>Work items from wiki/desktop/development-plan.md. Edit the Status (dropdown) and Notes columns to track progress. Updated 2026-07-21.</t>
        </is>
      </c>
    </row>
    <row r="4">
      <c r="A4" s="7" t="inlineStr">
        <is>
          <t>Phase</t>
        </is>
      </c>
      <c r="B4" s="7" t="inlineStr">
        <is>
          <t>ID</t>
        </is>
      </c>
      <c r="C4" s="7" t="inlineStr">
        <is>
          <t>Work Item</t>
        </is>
      </c>
      <c r="D4" s="7" t="inlineStr">
        <is>
          <t>Acceptance Criteria</t>
        </is>
      </c>
      <c r="E4" s="7" t="inlineStr">
        <is>
          <t>Status</t>
        </is>
      </c>
      <c r="F4" s="7" t="inlineStr">
        <is>
          <t>Notes / Evidence</t>
        </is>
      </c>
    </row>
    <row r="5">
      <c r="A5" s="23" t="inlineStr">
        <is>
          <t>Phase 0</t>
        </is>
      </c>
      <c r="B5" s="23" t="inlineStr">
        <is>
          <t>0.1</t>
        </is>
      </c>
      <c r="C5" s="24" t="inlineStr">
        <is>
          <t>pnpm workspace; notable-finance-app with electron-vite (main/preload/renderer)</t>
        </is>
      </c>
      <c r="D5" s="24" t="inlineStr">
        <is>
          <t>App window boots with HMR</t>
        </is>
      </c>
      <c r="E5" s="23" t="inlineStr">
        <is>
          <t>Done</t>
        </is>
      </c>
      <c r="F5" s="24" t="inlineStr">
        <is>
          <t>Verified 2026-07-21: pnpm workspace + electron-vite scaffold; build &amp; typecheck clean; Electron window boots with Vite HMR at localhost:5173.</t>
        </is>
      </c>
    </row>
    <row r="6">
      <c r="A6" s="23" t="inlineStr">
        <is>
          <t>Phase 0</t>
        </is>
      </c>
      <c r="B6" s="23" t="inlineStr">
        <is>
          <t>0.2</t>
        </is>
      </c>
      <c r="C6" s="24" t="inlineStr">
        <is>
          <t>better-sqlite3 + drizzle wired; migrations run on start</t>
        </is>
      </c>
      <c r="D6" s="24" t="inlineStr">
        <is>
          <t>Empty DB created in userData</t>
        </is>
      </c>
      <c r="E6" s="23" t="inlineStr">
        <is>
          <t>Done</t>
        </is>
      </c>
      <c r="F6" s="24" t="inlineStr">
        <is>
          <t>Verified 2026-07-21: better-sqlite3 (rebuilt for Electron ABI) + drizzle wired; migrations run on start; DB created at userData/notable-finance-app/notable-finance.sqlite with all 10 tables.</t>
        </is>
      </c>
    </row>
    <row r="7">
      <c r="A7" s="23" t="inlineStr">
        <is>
          <t>Phase 0</t>
        </is>
      </c>
      <c r="B7" s="23" t="inlineStr">
        <is>
          <t>0.3</t>
        </is>
      </c>
      <c r="C7" s="24" t="inlineStr">
        <is>
          <t>Copy domain/types/mapping/reporting from web into src/main/domain + src/shared</t>
        </is>
      </c>
      <c r="D7" s="24" t="inlineStr">
        <is>
          <t>Unit tests for derivations pass</t>
        </is>
      </c>
      <c r="E7" s="23" t="inlineStr">
        <is>
          <t>Done</t>
        </is>
      </c>
      <c r="F7" s="24" t="inlineStr">
        <is>
          <t>Verified 2026-07-21: DTO types + resource-utils + local derivations in src/shared + src/main/domain; 16 derivation unit tests pass (vitest). Notion property mapping deferred to Phase 2 (bundled with the Notion adapter).</t>
        </is>
      </c>
    </row>
    <row r="8">
      <c r="A8" s="23" t="inlineStr">
        <is>
          <t>Phase 0</t>
        </is>
      </c>
      <c r="B8" s="23" t="inlineStr">
        <is>
          <t>0.4</t>
        </is>
      </c>
      <c r="C8" s="24" t="inlineStr">
        <is>
          <t>contextBridge preload + IPC skeleton</t>
        </is>
      </c>
      <c r="D8" s="24" t="inlineStr">
        <is>
          <t>Renderer calls a no-op window.api channel</t>
        </is>
      </c>
      <c r="E8" s="23" t="inlineStr">
        <is>
          <t>Done</t>
        </is>
      </c>
      <c r="F8" s="24" t="inlineStr">
        <is>
          <t>Verified 2026-07-21: contextBridge preload + ipcMain.handle skeleton (app:ping, db:health) with the ApiResult envelope; renderer roundtrip returns pong + the live table list.</t>
        </is>
      </c>
    </row>
    <row r="9">
      <c r="A9" s="23" t="inlineStr">
        <is>
          <t>Phase 1</t>
        </is>
      </c>
      <c r="B9" s="23" t="inlineStr">
        <is>
          <t>1.1</t>
        </is>
      </c>
      <c r="C9" s="24" t="inlineStr">
        <is>
          <t>SQLite schema for all resources + sync columns</t>
        </is>
      </c>
      <c r="D9" s="24" t="inlineStr">
        <is>
          <t>Schema matches local-data-schema.md</t>
        </is>
      </c>
      <c r="E9" s="23" t="inlineStr">
        <is>
          <t>Done</t>
        </is>
      </c>
      <c r="F9" s="24" t="inlineStr">
        <is>
          <t>Verified 2026-07-21: schema completed with pasabuy columns (migration 0001); all tables + sync columns per local-data-schema.md.</t>
        </is>
      </c>
    </row>
    <row r="10">
      <c r="A10" s="23" t="inlineStr">
        <is>
          <t>Phase 1</t>
        </is>
      </c>
      <c r="B10" s="23" t="inlineStr">
        <is>
          <t>1.2</t>
        </is>
      </c>
      <c r="C10" s="24" t="inlineStr">
        <is>
          <t>Local CRUD for incomes/expenses/scheduler (instant write, dirty)</t>
        </is>
      </c>
      <c r="D10" s="24" t="inlineStr">
        <is>
          <t>Create/edit/soft-delete works offline</t>
        </is>
      </c>
      <c r="E10" s="23" t="inlineStr">
        <is>
          <t>Done</t>
        </is>
      </c>
      <c r="F10" s="24" t="inlineStr">
        <is>
          <t>Verified 2026-07-21: repositories with instant writes, sync_state=dirty, mutation_queue journal, soft-delete via title rewrite; validation in main; full IPC surface. Live-run harness exercised create/update/soft-delete.</t>
        </is>
      </c>
    </row>
    <row r="11">
      <c r="A11" s="23" t="inlineStr">
        <is>
          <t>Phase 1</t>
        </is>
      </c>
      <c r="B11" s="23" t="inlineStr">
        <is>
          <t>1.3</t>
        </is>
      </c>
      <c r="C11" s="24" t="inlineStr">
        <is>
          <t>Derived values (balances, budgets, net, monthly) computed from SQLite</t>
        </is>
      </c>
      <c r="D11" s="24" t="inlineStr">
        <is>
          <t>Numbers match golden tests; update on edit</t>
        </is>
      </c>
      <c r="E11" s="23" t="inlineStr">
        <is>
          <t>Done</t>
        </is>
      </c>
      <c r="F11" s="24" t="inlineStr">
        <is>
          <t>Verified 2026-07-21: live golden checks PASS (income 50,000 / expense 11,500 / margin 38,500 / cash flow 73,000; credit balance -8,000, available 42,000); recompute + derived:updated on every edit; 27 unit tests green.</t>
        </is>
      </c>
    </row>
    <row r="12">
      <c r="A12" s="23" t="inlineStr">
        <is>
          <t>Phase 1</t>
        </is>
      </c>
      <c r="B12" s="23" t="inlineStr">
        <is>
          <t>1.4</t>
        </is>
      </c>
      <c r="C12" s="24" t="inlineStr">
        <is>
          <t>Ported renderer pages (Dashboard, Accounts, Income, Expense, Monitoring, Transfer, CC Payment, Alkansya, Receivables)</t>
        </is>
      </c>
      <c r="D12" s="24" t="inlineStr">
        <is>
          <t>Sections render from local data</t>
        </is>
      </c>
      <c r="E12" s="23" t="inlineStr">
        <is>
          <t>Done</t>
        </is>
      </c>
      <c r="F12" s="24" t="inlineStr">
        <is>
          <t>Verified 2026-07-21: all 9 sections render from local SQLite over window.api with the web view semantics (fixed categories Transfer/CC Payment/Savings, receivables = no account, income excludes auxiliary). Re-expressed UI (not pixel-ported); full CRUD forms + scheduler panel.</t>
        </is>
      </c>
    </row>
    <row r="13">
      <c r="A13" s="23" t="inlineStr">
        <is>
          <t>Phase 1</t>
        </is>
      </c>
      <c r="B13" s="23" t="inlineStr">
        <is>
          <t>1.5</t>
        </is>
      </c>
      <c r="C13" s="24" t="inlineStr">
        <is>
          <t>Multi-window; changes reflect across windows</t>
        </is>
      </c>
      <c r="D13" s="24" t="inlineStr">
        <is>
          <t>Two windows stay consistent</t>
        </is>
      </c>
      <c r="E13" s="23" t="inlineStr">
        <is>
          <t>Done</t>
        </is>
      </c>
      <c r="F13" s="24" t="inlineStr">
        <is>
          <t>Verified 2026-07-21: New Window (menu Cmd/Ctrl+N + IPC); records:changed/derived:updated broadcast to all windows; live run showed 2 windows each receiving all 18 events and refetching.</t>
        </is>
      </c>
    </row>
    <row r="14">
      <c r="A14" s="23" t="inlineStr">
        <is>
          <t>Phase 2</t>
        </is>
      </c>
      <c r="B14" s="23" t="inlineStr">
        <is>
          <t>2.1</t>
        </is>
      </c>
      <c r="C14" s="24" t="inlineStr">
        <is>
          <t>Notion Connect: token via safeStorage; discover + map databases</t>
        </is>
      </c>
      <c r="D14" s="24" t="inlineStr">
        <is>
          <t>Token stored in keychain, never in renderer</t>
        </is>
      </c>
      <c r="E14" s="23" t="inlineStr">
        <is>
          <t>Not Started</t>
        </is>
      </c>
      <c r="F14" s="24" t="inlineStr"/>
    </row>
    <row r="15">
      <c r="A15" s="23" t="inlineStr">
        <is>
          <t>Phase 2</t>
        </is>
      </c>
      <c r="B15" s="23" t="inlineStr">
        <is>
          <t>2.2</t>
        </is>
      </c>
      <c r="C15" s="24" t="inlineStr">
        <is>
          <t>Schema verification (drift report)</t>
        </is>
      </c>
      <c r="D15" s="24" t="inlineStr">
        <is>
          <t>Verify passes on the mapped workspace</t>
        </is>
      </c>
      <c r="E15" s="23" t="inlineStr">
        <is>
          <t>Not Started</t>
        </is>
      </c>
      <c r="F15" s="24" t="inlineStr"/>
    </row>
    <row r="16">
      <c r="A16" s="23" t="inlineStr">
        <is>
          <t>Phase 2</t>
        </is>
      </c>
      <c r="B16" s="23" t="inlineStr">
        <is>
          <t>2.3</t>
        </is>
      </c>
      <c r="C16" s="24" t="inlineStr">
        <is>
          <t>Push: create/update/soft-delete to Notion (writable fields only)</t>
        </is>
      </c>
      <c r="D16" s="24" t="inlineStr">
        <is>
          <t>Dirty records reach Notion; ids stored; idempotent</t>
        </is>
      </c>
      <c r="E16" s="23" t="inlineStr">
        <is>
          <t>Not Started</t>
        </is>
      </c>
      <c r="F16" s="24" t="inlineStr"/>
    </row>
    <row r="17">
      <c r="A17" s="23" t="inlineStr">
        <is>
          <t>Phase 3</t>
        </is>
      </c>
      <c r="B17" s="23" t="inlineStr">
        <is>
          <t>3.1</t>
        </is>
      </c>
      <c r="C17" s="24" t="inlineStr">
        <is>
          <t>Initial pull populates SQLite</t>
        </is>
      </c>
      <c r="D17" s="24" t="inlineStr">
        <is>
          <t>Local store matches Notion after onboarding</t>
        </is>
      </c>
      <c r="E17" s="23" t="inlineStr">
        <is>
          <t>Not Started</t>
        </is>
      </c>
      <c r="F17" s="24" t="inlineStr"/>
    </row>
    <row r="18">
      <c r="A18" s="23" t="inlineStr">
        <is>
          <t>Phase 3</t>
        </is>
      </c>
      <c r="B18" s="23" t="inlineStr">
        <is>
          <t>3.2</t>
        </is>
      </c>
      <c r="C18" s="24" t="inlineStr">
        <is>
          <t>Incremental pull via Search since last_pull_cursor</t>
        </is>
      </c>
      <c r="D18" s="24" t="inlineStr">
        <is>
          <t>Only changed pages fetched; cursor persists</t>
        </is>
      </c>
      <c r="E18" s="23" t="inlineStr">
        <is>
          <t>Not Started</t>
        </is>
      </c>
      <c r="F18" s="24" t="inlineStr"/>
    </row>
    <row r="19">
      <c r="A19" s="23" t="inlineStr">
        <is>
          <t>Phase 3</t>
        </is>
      </c>
      <c r="B19" s="23" t="inlineStr">
        <is>
          <t>3.3</t>
        </is>
      </c>
      <c r="C19" s="24" t="inlineStr">
        <is>
          <t>Reference cache (accounts/categories) refresh on pull</t>
        </is>
      </c>
      <c r="D19" s="24" t="inlineStr">
        <is>
          <t>Selectors reflect Notion</t>
        </is>
      </c>
      <c r="E19" s="23" t="inlineStr">
        <is>
          <t>Not Started</t>
        </is>
      </c>
      <c r="F19" s="24" t="inlineStr"/>
    </row>
    <row r="20">
      <c r="A20" s="23" t="inlineStr">
        <is>
          <t>Phase 4</t>
        </is>
      </c>
      <c r="B20" s="23" t="inlineStr">
        <is>
          <t>4.1</t>
        </is>
      </c>
      <c r="C20" s="24" t="inlineStr">
        <is>
          <t>Three-way merge (base/local/remote); auto-merge disjoint fields</t>
        </is>
      </c>
      <c r="D20" s="24" t="inlineStr">
        <is>
          <t>Scenario matrix tests pass</t>
        </is>
      </c>
      <c r="E20" s="23" t="inlineStr">
        <is>
          <t>Not Started</t>
        </is>
      </c>
      <c r="F20" s="24" t="inlineStr"/>
    </row>
    <row r="21">
      <c r="A21" s="23" t="inlineStr">
        <is>
          <t>Phase 4</t>
        </is>
      </c>
      <c r="B21" s="23" t="inlineStr">
        <is>
          <t>4.2</t>
        </is>
      </c>
      <c r="C21" s="24" t="inlineStr">
        <is>
          <t>Conflict detection + log + resolver UI (prompt)</t>
        </is>
      </c>
      <c r="D21" s="24" t="inlineStr">
        <is>
          <t>Same-field conflict prompts and resolves</t>
        </is>
      </c>
      <c r="E21" s="23" t="inlineStr">
        <is>
          <t>Not Started</t>
        </is>
      </c>
      <c r="F21" s="24" t="inlineStr"/>
    </row>
    <row r="22">
      <c r="A22" s="23" t="inlineStr">
        <is>
          <t>Phase 4</t>
        </is>
      </c>
      <c r="B22" s="23" t="inlineStr">
        <is>
          <t>4.3</t>
        </is>
      </c>
      <c r="C22" s="24" t="inlineStr">
        <is>
          <t>Sync modes (manual + interval push/pull); status indicator; badges</t>
        </is>
      </c>
      <c r="D22" s="24" t="inlineStr">
        <is>
          <t>Status/badges per offline-and-state-model.md</t>
        </is>
      </c>
      <c r="E22" s="23" t="inlineStr">
        <is>
          <t>Not Started</t>
        </is>
      </c>
      <c r="F22" s="24" t="inlineStr"/>
    </row>
    <row r="23">
      <c r="A23" s="23" t="inlineStr">
        <is>
          <t>Phase 4</t>
        </is>
      </c>
      <c r="B23" s="23" t="inlineStr">
        <is>
          <t>4.4</t>
        </is>
      </c>
      <c r="C23" s="24" t="inlineStr">
        <is>
          <t>Mutation queue durability + rate-limit backoff</t>
        </is>
      </c>
      <c r="D23" s="24" t="inlineStr">
        <is>
          <t>Crash/429 simulations pass</t>
        </is>
      </c>
      <c r="E23" s="23" t="inlineStr">
        <is>
          <t>Not Started</t>
        </is>
      </c>
      <c r="F23" s="24" t="inlineStr"/>
    </row>
    <row r="24">
      <c r="A24" s="23" t="inlineStr">
        <is>
          <t>Phase 5</t>
        </is>
      </c>
      <c r="B24" s="23" t="inlineStr">
        <is>
          <t>5.1</t>
        </is>
      </c>
      <c r="C24" s="24" t="inlineStr">
        <is>
          <t>electron-builder for mac/linux/windows; native rebuild</t>
        </is>
      </c>
      <c r="D24" s="24" t="inlineStr">
        <is>
          <t>Installers produced; app runs unsigned</t>
        </is>
      </c>
      <c r="E24" s="23" t="inlineStr">
        <is>
          <t>Not Started</t>
        </is>
      </c>
      <c r="F24" s="24" t="inlineStr"/>
    </row>
    <row r="25">
      <c r="A25" s="23" t="inlineStr">
        <is>
          <t>Phase 5</t>
        </is>
      </c>
      <c r="B25" s="23" t="inlineStr">
        <is>
          <t>5.2</t>
        </is>
      </c>
      <c r="C25" s="24" t="inlineStr">
        <is>
          <t>Playwright + Electron e2e for core flows</t>
        </is>
      </c>
      <c r="D25" s="24" t="inlineStr">
        <is>
          <t>E2E suite green</t>
        </is>
      </c>
      <c r="E25" s="23" t="inlineStr">
        <is>
          <t>Not Started</t>
        </is>
      </c>
      <c r="F25" s="24" t="inlineStr"/>
    </row>
    <row r="26">
      <c r="A26" s="23" t="inlineStr">
        <is>
          <t>Phase 5</t>
        </is>
      </c>
      <c r="B26" s="23" t="inlineStr">
        <is>
          <t>5.3</t>
        </is>
      </c>
      <c r="C26" s="24" t="inlineStr">
        <is>
          <t>CHANGELOG + versioning</t>
        </is>
      </c>
      <c r="D26" s="24" t="inlineStr">
        <is>
          <t>v0.1.0 tagged</t>
        </is>
      </c>
      <c r="E26" s="23" t="inlineStr">
        <is>
          <t>Not Started</t>
        </is>
      </c>
      <c r="F26" s="24" t="inlineStr"/>
    </row>
  </sheetData>
  <mergeCells count="2">
    <mergeCell ref="A2:F2"/>
    <mergeCell ref="A1:F1"/>
  </mergeCells>
  <conditionalFormatting sqref="E5:E26">
    <cfRule type="expression" priority="1" dxfId="0">
      <formula>$E5="Done"</formula>
    </cfRule>
    <cfRule type="expression" priority="2" dxfId="1">
      <formula>$E5="In Progress"</formula>
    </cfRule>
    <cfRule type="expression" priority="3" dxfId="2">
      <formula>$E5="Not Started"</formula>
    </cfRule>
    <cfRule type="expression" priority="4" dxfId="3">
      <formula>$E5="Blocked"</formula>
    </cfRule>
  </conditionalFormatting>
  <dataValidations count="1">
    <dataValidation sqref="E5:E26" showDropDown="0" showInputMessage="0" showErrorMessage="0" allowBlank="0" errorTitle="Invalid status" error="Pick one of: Done, In Progress, Not Started, Blocked" type="list">
      <formula1>"Done,In Progress,Not Started,Blocked"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2026-07-21T12:27:43Z</dcterms:created>
  <dcterms:modified xsi:type="dcterms:W3CDTF">2026-07-21T12:27:43Z</dcterms:modified>
</cp:coreProperties>
</file>